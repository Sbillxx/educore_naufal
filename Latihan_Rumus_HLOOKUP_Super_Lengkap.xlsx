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bnus\Downloads\"/>
    </mc:Choice>
  </mc:AlternateContent>
  <xr:revisionPtr revIDLastSave="0" documentId="13_ncr:1_{AE0B2525-BBBC-4BB9-9B8D-4782D8D61E7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Latihan Dasar HLOOKUP" sheetId="1" r:id="rId1"/>
    <sheet name="Studi Kasus Diskon" sheetId="2" r:id="rId2"/>
  </sheets>
  <calcPr calcId="191029"/>
</workbook>
</file>

<file path=xl/calcChain.xml><?xml version="1.0" encoding="utf-8"?>
<calcChain xmlns="http://schemas.openxmlformats.org/spreadsheetml/2006/main">
  <c r="F26" i="1" l="1"/>
  <c r="E26" i="1"/>
  <c r="B14" i="1"/>
  <c r="B15" i="1"/>
  <c r="B16" i="1"/>
  <c r="C28" i="1"/>
  <c r="D28" i="1" s="1"/>
  <c r="F13" i="1"/>
  <c r="D25" i="2"/>
  <c r="E25" i="2" s="1"/>
  <c r="F25" i="2" s="1"/>
  <c r="D24" i="2"/>
  <c r="E24" i="2" s="1"/>
  <c r="F24" i="2" s="1"/>
  <c r="D23" i="2"/>
  <c r="E23" i="2" s="1"/>
  <c r="F23" i="2" s="1"/>
  <c r="D22" i="2"/>
  <c r="E22" i="2" s="1"/>
  <c r="F22" i="2" s="1"/>
  <c r="D21" i="2"/>
  <c r="E21" i="2" s="1"/>
  <c r="F21" i="2" s="1"/>
  <c r="D20" i="2"/>
  <c r="E20" i="2" s="1"/>
  <c r="F20" i="2" s="1"/>
  <c r="D19" i="2"/>
  <c r="E19" i="2" s="1"/>
  <c r="F19" i="2" s="1"/>
  <c r="D18" i="2"/>
  <c r="E18" i="2" s="1"/>
  <c r="F18" i="2" s="1"/>
  <c r="D17" i="2"/>
  <c r="E17" i="2" s="1"/>
  <c r="F17" i="2" s="1"/>
  <c r="D16" i="2"/>
  <c r="E16" i="2" s="1"/>
  <c r="F16" i="2" s="1"/>
  <c r="D15" i="2"/>
  <c r="E15" i="2" s="1"/>
  <c r="F15" i="2" s="1"/>
  <c r="D14" i="2"/>
  <c r="E14" i="2" s="1"/>
  <c r="F14" i="2" s="1"/>
  <c r="D13" i="2"/>
  <c r="E13" i="2" s="1"/>
  <c r="F13" i="2" s="1"/>
  <c r="D12" i="2"/>
  <c r="E12" i="2" s="1"/>
  <c r="F12" i="2" s="1"/>
  <c r="D11" i="2"/>
  <c r="E11" i="2" s="1"/>
  <c r="F11" i="2" s="1"/>
  <c r="C40" i="1"/>
  <c r="D40" i="1" s="1"/>
  <c r="C39" i="1"/>
  <c r="D39" i="1" s="1"/>
  <c r="C38" i="1"/>
  <c r="D38" i="1" s="1"/>
  <c r="C37" i="1"/>
  <c r="D37" i="1" s="1"/>
  <c r="D36" i="1"/>
  <c r="C36" i="1"/>
  <c r="C35" i="1"/>
  <c r="D35" i="1" s="1"/>
  <c r="C34" i="1"/>
  <c r="D34" i="1" s="1"/>
  <c r="C33" i="1"/>
  <c r="D33" i="1" s="1"/>
  <c r="C32" i="1"/>
  <c r="D32" i="1" s="1"/>
  <c r="C31" i="1"/>
  <c r="D31" i="1" s="1"/>
  <c r="C30" i="1"/>
  <c r="D30" i="1" s="1"/>
  <c r="C29" i="1"/>
  <c r="D29" i="1" s="1"/>
  <c r="C27" i="1"/>
  <c r="D27" i="1" s="1"/>
  <c r="C26" i="1"/>
  <c r="D26" i="1" s="1"/>
  <c r="D16" i="1"/>
  <c r="C16" i="1"/>
  <c r="D15" i="1"/>
  <c r="C15" i="1"/>
  <c r="D14" i="1"/>
  <c r="C14" i="1"/>
  <c r="D13" i="1"/>
  <c r="C13" i="1"/>
  <c r="B13" i="1"/>
  <c r="F26" i="2" l="1"/>
</calcChain>
</file>

<file path=xl/sharedStrings.xml><?xml version="1.0" encoding="utf-8"?>
<sst xmlns="http://schemas.openxmlformats.org/spreadsheetml/2006/main" count="131" uniqueCount="104">
  <si>
    <t>Panduan Belajar HLOOKUP Excel (Horizontal Lookup)</t>
  </si>
  <si>
    <t>Sintaks: =HLOOKUP(lookup_value, table_array, row_index_num, [range_lookup])</t>
  </si>
  <si>
    <t>1. Latihan Dasar: Data Gaji Karyawan (Tabel Horizontal)</t>
  </si>
  <si>
    <t>ID Karyawan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</si>
  <si>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</si>
  <si>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</si>
  <si>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</si>
  <si>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</si>
  <si>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</si>
  <si>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</si>
  <si>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</si>
  <si>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</si>
  <si>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</si>
  <si>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</si>
  <si>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</si>
  <si>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</si>
  <si>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</si>
  <si>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</si>
  <si>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</si>
  <si>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Nama Karyawan</t>
  </si>
  <si>
    <t>Andi Wijaya</t>
  </si>
  <si>
    <t>Budi Santoso</t>
  </si>
  <si>
    <t>Citra Lestari</t>
  </si>
  <si>
    <t>Dedi Kurnia</t>
  </si>
  <si>
    <t>Eka Putri</t>
  </si>
  <si>
    <t>Fahmi Idris</t>
  </si>
  <si>
    <t>Gita Permata</t>
  </si>
  <si>
    <t>Hendra Wijaya</t>
  </si>
  <si>
    <t>Indah Kusuma</t>
  </si>
  <si>
    <t>Joko Susilo</t>
  </si>
  <si>
    <t>Kurniawan</t>
  </si>
  <si>
    <t>Larasati</t>
  </si>
  <si>
    <t>Muhammad Arif</t>
  </si>
  <si>
    <t>Nadia Utami</t>
  </si>
  <si>
    <t>Oki Raharjo</t>
  </si>
  <si>
    <t>Divisi</t>
  </si>
  <si>
    <t>Marketing</t>
  </si>
  <si>
    <t>IT Support</t>
  </si>
  <si>
    <t>Finance</t>
  </si>
  <si>
    <t>HRD</t>
  </si>
  <si>
    <t>Operations</t>
  </si>
  <si>
    <t>Procurement</t>
  </si>
  <si>
    <t>Legal</t>
  </si>
  <si>
    <t>Sales</t>
  </si>
  <si>
    <t>Public Relations</t>
  </si>
  <si>
    <t>Quality Control</t>
  </si>
  <si>
    <t>Gaji Pokok</t>
  </si>
  <si>
    <t>Tabel Pencarian HLOOKUP (Masukkan ID di kolom kuning)</t>
  </si>
  <si>
    <t>Masukkan ID</t>
  </si>
  <si>
    <t>Hasil Nama</t>
  </si>
  <si>
    <t>Hasil Divisi</t>
  </si>
  <si>
    <t>Hasil Gaji</t>
  </si>
  <si>
    <t>2. Latihan Rentang Bonus Penjualan (Approximate Match - TRUE)</t>
  </si>
  <si>
    <t>Total Penjualan Min.</t>
  </si>
  <si>
    <t>Persentase Bonus</t>
  </si>
  <si>
    <t>Daftar Pencapaian Bonus Sales:</t>
  </si>
  <si>
    <t>Nama Sales</t>
  </si>
  <si>
    <t>Pencapaian Penjualan</t>
  </si>
  <si>
    <t xml:space="preserve"> % Bonus (HLOOKUP)</t>
  </si>
  <si>
    <t>Nominal Bonus</t>
  </si>
  <si>
    <t>Rian</t>
  </si>
  <si>
    <t>Santi</t>
  </si>
  <si>
    <t>Tono</t>
  </si>
  <si>
    <t>Siti</t>
  </si>
  <si>
    <t>Dewi</t>
  </si>
  <si>
    <t>Budi</t>
  </si>
  <si>
    <t>Agus</t>
  </si>
  <si>
    <t>Fitri</t>
  </si>
  <si>
    <t>Roni</t>
  </si>
  <si>
    <t>Wati</t>
  </si>
  <si>
    <t>Deni</t>
  </si>
  <si>
    <t>Iwan</t>
  </si>
  <si>
    <t>Yanti</t>
  </si>
  <si>
    <t>Hadi</t>
  </si>
  <si>
    <t>Rina</t>
  </si>
  <si>
    <t>Sistem Perhitungan Diskon &amp; Pajak Otomatis (HLOOKUP + IFERROR)</t>
  </si>
  <si>
    <t>Tabel Kebijakan Toko (Referensi Horizontal)</t>
  </si>
  <si>
    <t>Kategori Member</t>
  </si>
  <si>
    <t>BRONZE</t>
  </si>
  <si>
    <t>SILVER</t>
  </si>
  <si>
    <t>GOLD</t>
  </si>
  <si>
    <t>PLATINUM</t>
  </si>
  <si>
    <t>UMUM</t>
  </si>
  <si>
    <t>Diskon Belanja</t>
  </si>
  <si>
    <t>Potongan Pajak</t>
  </si>
  <si>
    <t>Form Transaksi Penjualan Toko</t>
  </si>
  <si>
    <t>Nama Pelanggan</t>
  </si>
  <si>
    <t>Total Belanja</t>
  </si>
  <si>
    <t xml:space="preserve"> % Diskon (HLOOKUP)</t>
  </si>
  <si>
    <t>Potongan Harga</t>
  </si>
  <si>
    <t>Total Akhir</t>
  </si>
  <si>
    <t>Ahmad</t>
  </si>
  <si>
    <t>Siska</t>
  </si>
  <si>
    <t>Bambang</t>
  </si>
  <si>
    <t>Diana</t>
  </si>
  <si>
    <t>Eko</t>
  </si>
  <si>
    <t>Fanny</t>
  </si>
  <si>
    <t>Gani</t>
  </si>
  <si>
    <t>Hani</t>
  </si>
  <si>
    <t>Indra</t>
  </si>
  <si>
    <t>Julia</t>
  </si>
  <si>
    <t>Kevin</t>
  </si>
  <si>
    <t>Lina</t>
  </si>
  <si>
    <t>Total Omset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</si>
</sst>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"/>
    <numFmt numFmtId="171" formatCode="_-[$Rp-421]* #,##0_-;\-[$Rp-421]* #,##0_-;_-[$Rp-421]* &quot;-&quot;??_-;_-@_-"/>
  </numFmts>
  <fonts count="7" x14ac:knownFonts="1">
    <font>
      <sz val="11"/>
      <color theme="1"/>
      <name val="Calibri"/>
      <family val="2"/>
      <scheme val="minor"/>
    </font>
    <font>
      <b/>
      <sz val="16"/>
      <color rgb="FF0E6655"/>
      <name val="Segoe UI"/>
    </font>
    <font>
      <i/>
      <sz val="9"/>
      <color rgb="FF555555"/>
      <name val="Segoe UI"/>
    </font>
    <font>
      <b/>
      <sz val="12"/>
      <color rgb="FF0E6655"/>
      <name val="Segoe UI"/>
    </font>
    <font>
      <b/>
      <sz val="10"/>
      <color rgb="FFFFFFFF"/>
      <name val="Segoe UI"/>
    </font>
    <font>
      <sz val="10"/>
      <color rgb="FF000000"/>
      <name val="Segoe UI"/>
    </font>
    <font>
      <b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E6655"/>
        <bgColor rgb="FF0E6655"/>
      </patternFill>
    </fill>
    <fill>
      <patternFill patternType="solid">
        <fgColor rgb="FFE8F8F5"/>
        <bgColor rgb="FFE8F8F5"/>
      </patternFill>
    </fill>
    <fill>
      <patternFill patternType="solid">
        <fgColor rgb="FF2E4053"/>
        <bgColor rgb="FF2E4053"/>
      </patternFill>
    </fill>
    <fill>
      <patternFill patternType="solid">
        <fgColor rgb="FFFFF2CC"/>
        <bgColor rgb="FFFFF2CC"/>
      </patternFill>
    </fill>
    <fill>
      <patternFill patternType="solid">
        <fgColor rgb="FFD1F2EB"/>
        <bgColor rgb="FFD1F2EB"/>
      </patternFill>
    </fill>
    <fill>
      <patternFill patternType="solid">
        <fgColor rgb="FF239B56"/>
        <bgColor rgb="FF239B56"/>
      </patternFill>
    </fill>
    <fill>
      <patternFill patternType="solid">
        <fgColor rgb="FF1F618D"/>
        <bgColor rgb="FF1F618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E665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9" fontId="6" fillId="6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9" fontId="5" fillId="6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6" borderId="2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0" fontId="0" fillId="0" borderId="0" xfId="0" applyNumberFormat="1"/>
    <xf numFmtId="9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topLeftCell="A19" zoomScale="145" zoomScaleNormal="145" workbookViewId="0">
      <selection activeCell="A36" sqref="A36"/>
    </sheetView>
  </sheetViews>
  <sheetFormatPr defaultRowHeight="15" x14ac:dyDescent="0.25"/>
  <cols>
    <col min="1" max="1" width="80.7109375" customWidth="1"/>
    <col min="2" max="2" width="24" customWidth="1"/>
    <col min="3" max="3" width="22" customWidth="1"/>
    <col min="4" max="4" width="19" customWidth="1"/>
    <col min="5" max="5" width="15" customWidth="1"/>
    <col min="6" max="6" width="14" customWidth="1"/>
    <col min="7" max="7" width="15" customWidth="1"/>
    <col min="8" max="8" width="16" customWidth="1"/>
    <col min="9" max="9" width="17" customWidth="1"/>
    <col min="10" max="10" width="16" customWidth="1"/>
    <col min="11" max="12" width="15" customWidth="1"/>
    <col min="13" max="13" width="12" customWidth="1"/>
    <col min="14" max="14" width="17" customWidth="1"/>
    <col min="15" max="15" width="20" customWidth="1"/>
    <col min="16" max="16" width="19" customWidth="1"/>
  </cols>
  <sheetData>
    <row r="1" spans="1:16" ht="25.5" x14ac:dyDescent="0.5">
      <c r="A1" s="1" t="s">
        <v>0</v>
      </c>
    </row>
    <row r="2" spans="1:16" x14ac:dyDescent="0.25">
      <c r="A2" s="2" t="s">
        <v>1</v>
      </c>
    </row>
    <row r="4" spans="1:16" ht="17.25" x14ac:dyDescent="0.3">
      <c r="A4" s="3" t="s">
        <v>2</v>
      </c>
    </row>
    <row r="5" spans="1:16" x14ac:dyDescent="0.25">
      <c r="A5" s="4" t="s">
        <v>3</v>
      </c>
      <c r="B5" s="5" t="s">
        <v>4</v>
      </c>
      <c r="C5" s="6" t="s">
        <v>5</v>
      </c>
      <c r="D5" s="5" t="s">
        <v>6</v>
      </c>
      <c r="E5" s="6" t="s">
        <v>7</v>
      </c>
      <c r="F5" s="5" t="s">
        <v>8</v>
      </c>
      <c r="G5" s="6" t="s">
        <v>9</v>
      </c>
      <c r="H5" s="5" t="s">
        <v>10</v>
      </c>
      <c r="I5" s="6" t="s">
        <v>11</v>
      </c>
      <c r="J5" s="5" t="s">
        <v>12</v>
      </c>
      <c r="K5" s="6" t="s">
        <v>13</v>
      </c>
      <c r="L5" s="5" t="s">
        <v>14</v>
      </c>
      <c r="M5" s="6" t="s">
        <v>15</v>
      </c>
      <c r="N5" s="5" t="s">
        <v>16</v>
      </c>
      <c r="O5" s="6" t="s">
        <v>17</v>
      </c>
      <c r="P5" s="5" t="s">
        <v>18</v>
      </c>
    </row>
    <row r="6" spans="1:16" x14ac:dyDescent="0.25">
      <c r="A6" s="4" t="s">
        <v>19</v>
      </c>
      <c r="B6" s="5" t="s">
        <v>20</v>
      </c>
      <c r="C6" s="6" t="s">
        <v>21</v>
      </c>
      <c r="D6" s="5" t="s">
        <v>22</v>
      </c>
      <c r="E6" s="6" t="s">
        <v>23</v>
      </c>
      <c r="F6" s="5" t="s">
        <v>24</v>
      </c>
      <c r="G6" s="6" t="s">
        <v>25</v>
      </c>
      <c r="H6" s="5" t="s">
        <v>26</v>
      </c>
      <c r="I6" s="6" t="s">
        <v>27</v>
      </c>
      <c r="J6" s="5" t="s">
        <v>28</v>
      </c>
      <c r="K6" s="6" t="s">
        <v>29</v>
      </c>
      <c r="L6" s="5" t="s">
        <v>30</v>
      </c>
      <c r="M6" s="6" t="s">
        <v>31</v>
      </c>
      <c r="N6" s="5" t="s">
        <v>32</v>
      </c>
      <c r="O6" s="6" t="s">
        <v>33</v>
      </c>
      <c r="P6" s="5" t="s">
        <v>34</v>
      </c>
    </row>
    <row r="7" spans="1:16" x14ac:dyDescent="0.25">
      <c r="A7" s="4" t="s">
        <v>35</v>
      </c>
      <c r="B7" s="5" t="s">
        <v>36</v>
      </c>
      <c r="C7" s="6" t="s">
        <v>37</v>
      </c>
      <c r="D7" s="5" t="s">
        <v>38</v>
      </c>
      <c r="E7" s="6" t="s">
        <v>39</v>
      </c>
      <c r="F7" s="5" t="s">
        <v>40</v>
      </c>
      <c r="G7" s="6" t="s">
        <v>36</v>
      </c>
      <c r="H7" s="5" t="s">
        <v>38</v>
      </c>
      <c r="I7" s="6" t="s">
        <v>37</v>
      </c>
      <c r="J7" s="5" t="s">
        <v>39</v>
      </c>
      <c r="K7" s="6" t="s">
        <v>40</v>
      </c>
      <c r="L7" s="5" t="s">
        <v>41</v>
      </c>
      <c r="M7" s="6" t="s">
        <v>42</v>
      </c>
      <c r="N7" s="5" t="s">
        <v>43</v>
      </c>
      <c r="O7" s="6" t="s">
        <v>44</v>
      </c>
      <c r="P7" s="5" t="s">
        <v>45</v>
      </c>
    </row>
    <row r="8" spans="1:16" x14ac:dyDescent="0.25">
      <c r="A8" s="4" t="s">
        <v>46</v>
      </c>
      <c r="B8" s="20">
        <v>5000000</v>
      </c>
      <c r="C8" s="21">
        <v>6500000</v>
      </c>
      <c r="D8" s="20">
        <v>7000000</v>
      </c>
      <c r="E8" s="21">
        <v>5500000</v>
      </c>
      <c r="F8" s="20">
        <v>4800000</v>
      </c>
      <c r="G8" s="21">
        <v>5200000</v>
      </c>
      <c r="H8" s="20">
        <v>7200000</v>
      </c>
      <c r="I8" s="21">
        <v>6800000</v>
      </c>
      <c r="J8" s="20">
        <v>5600000</v>
      </c>
      <c r="K8" s="21">
        <v>4900000</v>
      </c>
      <c r="L8" s="20">
        <v>5800000</v>
      </c>
      <c r="M8" s="21">
        <v>7500000</v>
      </c>
      <c r="N8" s="20">
        <v>4500000</v>
      </c>
      <c r="O8" s="21">
        <v>6000000</v>
      </c>
      <c r="P8" s="20">
        <v>5300000</v>
      </c>
    </row>
    <row r="11" spans="1:16" x14ac:dyDescent="0.25">
      <c r="A11" s="2" t="s">
        <v>47</v>
      </c>
    </row>
    <row r="12" spans="1:16" x14ac:dyDescent="0.25">
      <c r="A12" s="9" t="s">
        <v>48</v>
      </c>
      <c r="B12" s="9" t="s">
        <v>49</v>
      </c>
      <c r="C12" s="9" t="s">
        <v>50</v>
      </c>
      <c r="D12" s="9" t="s">
        <v>51</v>
      </c>
      <c r="F12" s="9" t="s">
        <v>49</v>
      </c>
      <c r="G12" s="9" t="s">
        <v>50</v>
      </c>
      <c r="H12" s="9" t="s">
        <v>51</v>
      </c>
    </row>
    <row r="13" spans="1:16" x14ac:dyDescent="0.25">
      <c r="A13" s="10" t="s">
        <v>5</v>
      </c>
      <c r="B13" s="22" t="str">
        <f>HLOOKUP(A13, $B$5:$P$8, 2, FALSE)</f>
        <v>Budi Santoso</v>
      </c>
      <c r="C13" s="22" t="str">
        <f>HLOOKUP(A13, $B$5:$P$8, 3, FALSE)</f>
        <v>IT Support</v>
      </c>
      <c r="D13" s="23">
        <f>HLOOKUP(A13, $B$5:$P$8, 4, FALSE)</f>
        <v>6500000</v>
      </c>
      <c r="F13" t="str">
        <f>HLOOKUP(A13,B5:$P$8,2,FALSE)</f>
        <v>Budi Santoso</v>
      </c>
    </row>
    <row r="14" spans="1:16" x14ac:dyDescent="0.25">
      <c r="A14" s="10" t="s">
        <v>8</v>
      </c>
      <c r="B14" s="22" t="str">
        <f t="shared" ref="B14:B16" si="0">HLOOKUP(A14, $B$5:$P$8, 2, FALSE)</f>
        <v>Eka Putri</v>
      </c>
      <c r="C14" s="22" t="str">
        <f>HLOOKUP(A14, $B$5:$P$8, 3, FALSE)</f>
        <v>Operations</v>
      </c>
      <c r="D14" s="23">
        <f>HLOOKUP(A14, $B$5:$P$8, 4, FALSE)</f>
        <v>4800000</v>
      </c>
    </row>
    <row r="15" spans="1:16" x14ac:dyDescent="0.25">
      <c r="A15" s="10" t="s">
        <v>12</v>
      </c>
      <c r="B15" s="22" t="str">
        <f t="shared" si="0"/>
        <v>Indah Kusuma</v>
      </c>
      <c r="C15" s="22" t="str">
        <f>HLOOKUP(A15, $B$5:$P$8, 3, FALSE)</f>
        <v>HRD</v>
      </c>
      <c r="D15" s="23">
        <f>HLOOKUP(A15, $B$5:$P$8, 4, FALSE)</f>
        <v>5600000</v>
      </c>
    </row>
    <row r="16" spans="1:16" x14ac:dyDescent="0.25">
      <c r="A16" s="10" t="s">
        <v>15</v>
      </c>
      <c r="B16" s="22" t="str">
        <f t="shared" si="0"/>
        <v>Larasati</v>
      </c>
      <c r="C16" s="22" t="str">
        <f>HLOOKUP(A16, $B$5:$P$8, 3, FALSE)</f>
        <v>Legal</v>
      </c>
      <c r="D16" s="23">
        <f>HLOOKUP(A16, $B$5:$P$8, 4, FALSE)</f>
        <v>7500000</v>
      </c>
    </row>
    <row r="19" spans="1:6" ht="17.25" x14ac:dyDescent="0.3">
      <c r="A19" s="3" t="s">
        <v>52</v>
      </c>
    </row>
    <row r="20" spans="1:6" x14ac:dyDescent="0.25">
      <c r="A20" s="4" t="s">
        <v>53</v>
      </c>
      <c r="B20" s="20">
        <v>0</v>
      </c>
      <c r="C20" s="20">
        <v>10000000</v>
      </c>
      <c r="D20" s="20">
        <v>25000000</v>
      </c>
      <c r="E20" s="20">
        <v>50000000</v>
      </c>
      <c r="F20" s="20">
        <v>100000000</v>
      </c>
    </row>
    <row r="21" spans="1:6" x14ac:dyDescent="0.25">
      <c r="A21" s="4" t="s">
        <v>54</v>
      </c>
      <c r="B21" s="11">
        <v>0.02</v>
      </c>
      <c r="C21" s="11">
        <v>0.05</v>
      </c>
      <c r="D21" s="11">
        <v>0.08</v>
      </c>
      <c r="E21" s="11">
        <v>0.12</v>
      </c>
      <c r="F21" s="11">
        <v>0.15</v>
      </c>
    </row>
    <row r="24" spans="1:6" x14ac:dyDescent="0.25">
      <c r="A24" s="2" t="s">
        <v>55</v>
      </c>
    </row>
    <row r="25" spans="1:6" x14ac:dyDescent="0.25">
      <c r="A25" s="12" t="s">
        <v>56</v>
      </c>
      <c r="B25" s="12" t="s">
        <v>57</v>
      </c>
      <c r="C25" s="12" t="s">
        <v>58</v>
      </c>
      <c r="D25" s="12" t="s">
        <v>59</v>
      </c>
      <c r="E25" s="12" t="s">
        <v>58</v>
      </c>
      <c r="F25" s="12" t="s">
        <v>59</v>
      </c>
    </row>
    <row r="26" spans="1:6" x14ac:dyDescent="0.25">
      <c r="A26" s="7" t="s">
        <v>60</v>
      </c>
      <c r="B26" s="20">
        <v>8000000</v>
      </c>
      <c r="C26" s="13">
        <f t="shared" ref="C26:C40" si="1">HLOOKUP(B26, $B$20:$F$21, 2, TRUE)</f>
        <v>0.02</v>
      </c>
      <c r="D26" s="23">
        <f t="shared" ref="D26:D40" si="2">B26*C26</f>
        <v>160000</v>
      </c>
      <c r="E26" s="25">
        <f>HLOOKUP(B26,$B$20:$F$21,2,TRUE)</f>
        <v>0.02</v>
      </c>
      <c r="F26" s="26">
        <f>B26*E26</f>
        <v>160000</v>
      </c>
    </row>
    <row r="27" spans="1:6" x14ac:dyDescent="0.25">
      <c r="A27" s="7" t="s">
        <v>61</v>
      </c>
      <c r="B27" s="20">
        <v>15000000</v>
      </c>
      <c r="C27" s="13">
        <f t="shared" si="1"/>
        <v>0.05</v>
      </c>
      <c r="D27" s="23">
        <f t="shared" si="2"/>
        <v>750000</v>
      </c>
      <c r="E27" s="24"/>
    </row>
    <row r="28" spans="1:6" x14ac:dyDescent="0.25">
      <c r="A28" s="7" t="s">
        <v>62</v>
      </c>
      <c r="B28" s="20">
        <v>4500000</v>
      </c>
      <c r="C28" s="13">
        <f>HLOOKUP(B28, $B$20:$F$21, 2, TRUE)</f>
        <v>0.02</v>
      </c>
      <c r="D28" s="23">
        <f t="shared" si="2"/>
        <v>90000</v>
      </c>
      <c r="E28" s="24"/>
    </row>
    <row r="29" spans="1:6" x14ac:dyDescent="0.25">
      <c r="A29" s="7" t="s">
        <v>63</v>
      </c>
      <c r="B29" s="20">
        <v>55000000</v>
      </c>
      <c r="C29" s="13">
        <f t="shared" si="1"/>
        <v>0.12</v>
      </c>
      <c r="D29" s="23">
        <f t="shared" si="2"/>
        <v>6600000</v>
      </c>
      <c r="E29" s="24"/>
    </row>
    <row r="30" spans="1:6" x14ac:dyDescent="0.25">
      <c r="A30" s="7" t="s">
        <v>64</v>
      </c>
      <c r="B30" s="20">
        <v>30000000</v>
      </c>
      <c r="C30" s="13">
        <f t="shared" si="1"/>
        <v>0.08</v>
      </c>
      <c r="D30" s="23">
        <f t="shared" si="2"/>
        <v>2400000</v>
      </c>
      <c r="E30" s="24"/>
    </row>
    <row r="31" spans="1:6" x14ac:dyDescent="0.25">
      <c r="A31" s="7" t="s">
        <v>65</v>
      </c>
      <c r="B31" s="20">
        <v>12000000</v>
      </c>
      <c r="C31" s="13">
        <f t="shared" si="1"/>
        <v>0.05</v>
      </c>
      <c r="D31" s="23">
        <f t="shared" si="2"/>
        <v>600000</v>
      </c>
      <c r="E31" s="24"/>
    </row>
    <row r="32" spans="1:6" x14ac:dyDescent="0.25">
      <c r="A32" s="7" t="s">
        <v>66</v>
      </c>
      <c r="B32" s="20">
        <v>115000000</v>
      </c>
      <c r="C32" s="13">
        <f t="shared" si="1"/>
        <v>0.15</v>
      </c>
      <c r="D32" s="23">
        <f t="shared" si="2"/>
        <v>17250000</v>
      </c>
      <c r="E32" s="24"/>
    </row>
    <row r="33" spans="1:5" x14ac:dyDescent="0.25">
      <c r="A33" s="7" t="s">
        <v>67</v>
      </c>
      <c r="B33" s="20">
        <v>85000000</v>
      </c>
      <c r="C33" s="13">
        <f t="shared" si="1"/>
        <v>0.12</v>
      </c>
      <c r="D33" s="23">
        <f t="shared" si="2"/>
        <v>10200000</v>
      </c>
      <c r="E33" s="24"/>
    </row>
    <row r="34" spans="1:5" x14ac:dyDescent="0.25">
      <c r="A34" s="7" t="s">
        <v>68</v>
      </c>
      <c r="B34" s="20">
        <v>24000000</v>
      </c>
      <c r="C34" s="13">
        <f t="shared" si="1"/>
        <v>0.05</v>
      </c>
      <c r="D34" s="23">
        <f t="shared" si="2"/>
        <v>1200000</v>
      </c>
      <c r="E34" s="24"/>
    </row>
    <row r="35" spans="1:5" x14ac:dyDescent="0.25">
      <c r="A35" s="7" t="s">
        <v>69</v>
      </c>
      <c r="B35" s="20">
        <v>9500000</v>
      </c>
      <c r="C35" s="13">
        <f t="shared" si="1"/>
        <v>0.02</v>
      </c>
      <c r="D35" s="23">
        <f t="shared" si="2"/>
        <v>190000</v>
      </c>
      <c r="E35" s="24"/>
    </row>
    <row r="36" spans="1:5" x14ac:dyDescent="0.25">
      <c r="A36" s="7" t="s">
        <v>70</v>
      </c>
      <c r="B36" s="20">
        <v>49000000</v>
      </c>
      <c r="C36" s="13">
        <f t="shared" si="1"/>
        <v>0.08</v>
      </c>
      <c r="D36" s="23">
        <f t="shared" si="2"/>
        <v>3920000</v>
      </c>
      <c r="E36" s="24"/>
    </row>
    <row r="37" spans="1:5" x14ac:dyDescent="0.25">
      <c r="A37" s="7" t="s">
        <v>71</v>
      </c>
      <c r="B37" s="20">
        <v>72000000</v>
      </c>
      <c r="C37" s="13">
        <f t="shared" si="1"/>
        <v>0.12</v>
      </c>
      <c r="D37" s="23">
        <f t="shared" si="2"/>
        <v>8640000</v>
      </c>
      <c r="E37" s="24"/>
    </row>
    <row r="38" spans="1:5" x14ac:dyDescent="0.25">
      <c r="A38" s="7" t="s">
        <v>72</v>
      </c>
      <c r="B38" s="20">
        <v>130000000</v>
      </c>
      <c r="C38" s="13">
        <f t="shared" si="1"/>
        <v>0.15</v>
      </c>
      <c r="D38" s="23">
        <f t="shared" si="2"/>
        <v>19500000</v>
      </c>
      <c r="E38" s="24"/>
    </row>
    <row r="39" spans="1:5" x14ac:dyDescent="0.25">
      <c r="A39" s="7" t="s">
        <v>73</v>
      </c>
      <c r="B39" s="20">
        <v>5000000</v>
      </c>
      <c r="C39" s="13">
        <f t="shared" si="1"/>
        <v>0.02</v>
      </c>
      <c r="D39" s="23">
        <f t="shared" si="2"/>
        <v>100000</v>
      </c>
      <c r="E39" s="24"/>
    </row>
    <row r="40" spans="1:5" x14ac:dyDescent="0.25">
      <c r="A40" s="7" t="s">
        <v>74</v>
      </c>
      <c r="B40" s="20">
        <v>60000000</v>
      </c>
      <c r="C40" s="13">
        <f t="shared" si="1"/>
        <v>0.12</v>
      </c>
      <c r="D40" s="23">
        <f t="shared" si="2"/>
        <v>7200000</v>
      </c>
      <c r="E40" s="2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C31" sqref="C31"/>
    </sheetView>
  </sheetViews>
  <sheetFormatPr defaultRowHeight="15" x14ac:dyDescent="0.25"/>
  <cols>
    <col min="1" max="1" width="66" customWidth="1"/>
    <col min="2" max="2" width="19" customWidth="1"/>
    <col min="3" max="3" width="17" customWidth="1"/>
    <col min="4" max="4" width="23" customWidth="1"/>
    <col min="5" max="6" width="19" customWidth="1"/>
  </cols>
  <sheetData>
    <row r="1" spans="1:6" ht="25.5" x14ac:dyDescent="0.5">
      <c r="A1" s="1" t="s">
        <v>75</v>
      </c>
    </row>
    <row r="3" spans="1:6" ht="17.25" x14ac:dyDescent="0.3">
      <c r="A3" s="3" t="s">
        <v>76</v>
      </c>
    </row>
    <row r="4" spans="1:6" x14ac:dyDescent="0.25">
      <c r="A4" s="4" t="s">
        <v>77</v>
      </c>
      <c r="B4" s="14" t="s">
        <v>78</v>
      </c>
      <c r="C4" s="14" t="s">
        <v>79</v>
      </c>
      <c r="D4" s="14" t="s">
        <v>80</v>
      </c>
      <c r="E4" s="14" t="s">
        <v>81</v>
      </c>
      <c r="F4" s="14" t="s">
        <v>82</v>
      </c>
    </row>
    <row r="5" spans="1:6" x14ac:dyDescent="0.25">
      <c r="A5" s="4" t="s">
        <v>83</v>
      </c>
      <c r="B5" s="11">
        <v>0.02</v>
      </c>
      <c r="C5" s="11">
        <v>0.05</v>
      </c>
      <c r="D5" s="11">
        <v>0.1</v>
      </c>
      <c r="E5" s="11">
        <v>0.15</v>
      </c>
      <c r="F5" s="11">
        <v>0</v>
      </c>
    </row>
    <row r="6" spans="1:6" x14ac:dyDescent="0.25">
      <c r="A6" s="4" t="s">
        <v>84</v>
      </c>
      <c r="B6" s="11">
        <v>0.01</v>
      </c>
      <c r="C6" s="11">
        <v>0.02</v>
      </c>
      <c r="D6" s="11">
        <v>0.03</v>
      </c>
      <c r="E6" s="11">
        <v>0.05</v>
      </c>
      <c r="F6" s="11">
        <v>0</v>
      </c>
    </row>
    <row r="9" spans="1:6" ht="17.25" x14ac:dyDescent="0.3">
      <c r="A9" s="3" t="s">
        <v>85</v>
      </c>
    </row>
    <row r="10" spans="1:6" x14ac:dyDescent="0.25">
      <c r="A10" s="15" t="s">
        <v>86</v>
      </c>
      <c r="B10" s="15" t="s">
        <v>77</v>
      </c>
      <c r="C10" s="15" t="s">
        <v>87</v>
      </c>
      <c r="D10" s="15" t="s">
        <v>88</v>
      </c>
      <c r="E10" s="15" t="s">
        <v>89</v>
      </c>
      <c r="F10" s="15" t="s">
        <v>90</v>
      </c>
    </row>
    <row r="11" spans="1:6" x14ac:dyDescent="0.25">
      <c r="A11" s="7" t="s">
        <v>91</v>
      </c>
      <c r="B11" s="10" t="s">
        <v>80</v>
      </c>
      <c r="C11" s="8">
        <v>1500000</v>
      </c>
      <c r="D11" s="16">
        <f t="shared" ref="D11:D25" si="0">IFERROR(HLOOKUP(B11, $B$4:$F$6, 2, FALSE), 0)</f>
        <v>0.1</v>
      </c>
      <c r="E11" s="17">
        <f t="shared" ref="E11:E25" si="1">C11*D11</f>
        <v>150000</v>
      </c>
      <c r="F11" s="17">
        <f t="shared" ref="F11:F25" si="2">C11-E11</f>
        <v>1350000</v>
      </c>
    </row>
    <row r="12" spans="1:6" x14ac:dyDescent="0.25">
      <c r="A12" s="7" t="s">
        <v>92</v>
      </c>
      <c r="B12" s="10" t="s">
        <v>79</v>
      </c>
      <c r="C12" s="8">
        <v>850000</v>
      </c>
      <c r="D12" s="16">
        <f t="shared" si="0"/>
        <v>0.05</v>
      </c>
      <c r="E12" s="17">
        <f t="shared" si="1"/>
        <v>42500</v>
      </c>
      <c r="F12" s="17">
        <f t="shared" si="2"/>
        <v>807500</v>
      </c>
    </row>
    <row r="13" spans="1:6" x14ac:dyDescent="0.25">
      <c r="A13" s="7" t="s">
        <v>93</v>
      </c>
      <c r="B13" s="10" t="s">
        <v>82</v>
      </c>
      <c r="C13" s="8">
        <v>200000</v>
      </c>
      <c r="D13" s="16">
        <f t="shared" si="0"/>
        <v>0</v>
      </c>
      <c r="E13" s="17">
        <f t="shared" si="1"/>
        <v>0</v>
      </c>
      <c r="F13" s="17">
        <f t="shared" si="2"/>
        <v>200000</v>
      </c>
    </row>
    <row r="14" spans="1:6" x14ac:dyDescent="0.25">
      <c r="A14" s="7" t="s">
        <v>94</v>
      </c>
      <c r="B14" s="10" t="s">
        <v>81</v>
      </c>
      <c r="C14" s="8">
        <v>5000000</v>
      </c>
      <c r="D14" s="16">
        <f t="shared" si="0"/>
        <v>0.15</v>
      </c>
      <c r="E14" s="17">
        <f t="shared" si="1"/>
        <v>750000</v>
      </c>
      <c r="F14" s="17">
        <f t="shared" si="2"/>
        <v>4250000</v>
      </c>
    </row>
    <row r="15" spans="1:6" x14ac:dyDescent="0.25">
      <c r="A15" s="7" t="s">
        <v>95</v>
      </c>
      <c r="B15" s="10" t="s">
        <v>78</v>
      </c>
      <c r="C15" s="8">
        <v>1200000</v>
      </c>
      <c r="D15" s="16">
        <f t="shared" si="0"/>
        <v>0.02</v>
      </c>
      <c r="E15" s="17">
        <f t="shared" si="1"/>
        <v>24000</v>
      </c>
      <c r="F15" s="17">
        <f t="shared" si="2"/>
        <v>1176000</v>
      </c>
    </row>
    <row r="16" spans="1:6" x14ac:dyDescent="0.25">
      <c r="A16" s="7" t="s">
        <v>96</v>
      </c>
      <c r="B16" s="10" t="s">
        <v>80</v>
      </c>
      <c r="C16" s="8">
        <v>2300000</v>
      </c>
      <c r="D16" s="16">
        <f t="shared" si="0"/>
        <v>0.1</v>
      </c>
      <c r="E16" s="17">
        <f t="shared" si="1"/>
        <v>230000</v>
      </c>
      <c r="F16" s="17">
        <f t="shared" si="2"/>
        <v>2070000</v>
      </c>
    </row>
    <row r="17" spans="1:6" x14ac:dyDescent="0.25">
      <c r="A17" s="7" t="s">
        <v>97</v>
      </c>
      <c r="B17" s="10" t="s">
        <v>79</v>
      </c>
      <c r="C17" s="8">
        <v>950000</v>
      </c>
      <c r="D17" s="16">
        <f t="shared" si="0"/>
        <v>0.05</v>
      </c>
      <c r="E17" s="17">
        <f t="shared" si="1"/>
        <v>47500</v>
      </c>
      <c r="F17" s="17">
        <f t="shared" si="2"/>
        <v>902500</v>
      </c>
    </row>
    <row r="18" spans="1:6" x14ac:dyDescent="0.25">
      <c r="A18" s="7" t="s">
        <v>98</v>
      </c>
      <c r="B18" s="10" t="s">
        <v>82</v>
      </c>
      <c r="C18" s="8">
        <v>150000</v>
      </c>
      <c r="D18" s="16">
        <f t="shared" si="0"/>
        <v>0</v>
      </c>
      <c r="E18" s="17">
        <f t="shared" si="1"/>
        <v>0</v>
      </c>
      <c r="F18" s="17">
        <f t="shared" si="2"/>
        <v>150000</v>
      </c>
    </row>
    <row r="19" spans="1:6" x14ac:dyDescent="0.25">
      <c r="A19" s="7" t="s">
        <v>99</v>
      </c>
      <c r="B19" s="10" t="s">
        <v>81</v>
      </c>
      <c r="C19" s="8">
        <v>4200000</v>
      </c>
      <c r="D19" s="16">
        <f t="shared" si="0"/>
        <v>0.15</v>
      </c>
      <c r="E19" s="17">
        <f t="shared" si="1"/>
        <v>630000</v>
      </c>
      <c r="F19" s="17">
        <f t="shared" si="2"/>
        <v>3570000</v>
      </c>
    </row>
    <row r="20" spans="1:6" x14ac:dyDescent="0.25">
      <c r="A20" s="7" t="s">
        <v>100</v>
      </c>
      <c r="B20" s="10" t="s">
        <v>78</v>
      </c>
      <c r="C20" s="8">
        <v>750000</v>
      </c>
      <c r="D20" s="16">
        <f t="shared" si="0"/>
        <v>0.02</v>
      </c>
      <c r="E20" s="17">
        <f t="shared" si="1"/>
        <v>15000</v>
      </c>
      <c r="F20" s="17">
        <f t="shared" si="2"/>
        <v>735000</v>
      </c>
    </row>
    <row r="21" spans="1:6" x14ac:dyDescent="0.25">
      <c r="A21" s="7" t="s">
        <v>101</v>
      </c>
      <c r="B21" s="10" t="s">
        <v>80</v>
      </c>
      <c r="C21" s="8">
        <v>3100000</v>
      </c>
      <c r="D21" s="16">
        <f t="shared" si="0"/>
        <v>0.1</v>
      </c>
      <c r="E21" s="17">
        <f t="shared" si="1"/>
        <v>310000</v>
      </c>
      <c r="F21" s="17">
        <f t="shared" si="2"/>
        <v>2790000</v>
      </c>
    </row>
    <row r="22" spans="1:6" x14ac:dyDescent="0.25">
      <c r="A22" s="7" t="s">
        <v>102</v>
      </c>
      <c r="B22" s="10" t="s">
        <v>79</v>
      </c>
      <c r="C22" s="8">
        <v>1800000</v>
      </c>
      <c r="D22" s="16">
        <f t="shared" si="0"/>
        <v>0.05</v>
      </c>
      <c r="E22" s="17">
        <f t="shared" si="1"/>
        <v>90000</v>
      </c>
      <c r="F22" s="17">
        <f t="shared" si="2"/>
        <v>1710000</v>
      </c>
    </row>
    <row r="23" spans="1:6" x14ac:dyDescent="0.25">
      <c r="A23" s="7"/>
      <c r="B23" s="10"/>
      <c r="C23" s="8">
        <v>0</v>
      </c>
      <c r="D23" s="11">
        <f t="shared" si="0"/>
        <v>0</v>
      </c>
      <c r="E23" s="8">
        <f t="shared" si="1"/>
        <v>0</v>
      </c>
      <c r="F23" s="8">
        <f t="shared" si="2"/>
        <v>0</v>
      </c>
    </row>
    <row r="24" spans="1:6" x14ac:dyDescent="0.25">
      <c r="A24" s="7"/>
      <c r="B24" s="10"/>
      <c r="C24" s="8">
        <v>0</v>
      </c>
      <c r="D24" s="11">
        <f t="shared" si="0"/>
        <v>0</v>
      </c>
      <c r="E24" s="8">
        <f t="shared" si="1"/>
        <v>0</v>
      </c>
      <c r="F24" s="8">
        <f t="shared" si="2"/>
        <v>0</v>
      </c>
    </row>
    <row r="25" spans="1:6" x14ac:dyDescent="0.25">
      <c r="A25" s="7"/>
      <c r="B25" s="10"/>
      <c r="C25" s="8">
        <v>0</v>
      </c>
      <c r="D25" s="11">
        <f t="shared" si="0"/>
        <v>0</v>
      </c>
      <c r="E25" s="8">
        <f t="shared" si="1"/>
        <v>0</v>
      </c>
      <c r="F25" s="8">
        <f t="shared" si="2"/>
        <v>0</v>
      </c>
    </row>
    <row r="26" spans="1:6" x14ac:dyDescent="0.25">
      <c r="E26" s="18" t="s">
        <v>103</v>
      </c>
      <c r="F26" s="19">
        <f>SUM(F11:F25)</f>
        <v>19711000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Latihan Dasar HLOOKUP</vt:lpstr>
      <vt:lpstr>Studi Kasus Diskon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Ipnuee Ali</cp:lastModifiedBy>
  <dcterms:created xsi:type="dcterms:W3CDTF">2026-07-03T06:42:06Z</dcterms:created>
  <dcterms:modified xsi:type="dcterms:W3CDTF">2026-07-04T04:10:14Z</dcterms:modified>
</cp:coreProperties>
</file>